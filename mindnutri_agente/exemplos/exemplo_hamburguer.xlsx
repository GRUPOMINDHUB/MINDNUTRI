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cha Técnic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<sst xmlns="http://schemas.openxmlformats.org/spreadsheetml/2006/main" count="55" uniqueCount="47">
  <si>
    <t xml:space="preserve">FICHA TÉCNICA DE PREPARO</t>
  </si>
  <si>
    <t xml:space="preserve">Estabelecimento:</t>
  </si>
  <si>
    <t xml:space="preserve">Exemplo — Demonstração Mindnutri</t>
  </si>
  <si>
    <t xml:space="preserve">Código:</t>
  </si>
  <si>
    <t xml:space="preserve">HAM001</t>
  </si>
  <si>
    <t xml:space="preserve">Nome da preparação:</t>
  </si>
  <si>
    <t xml:space="preserve">Burger Clássico da Casa</t>
  </si>
  <si>
    <t xml:space="preserve">Classificação:</t>
  </si>
  <si>
    <t xml:space="preserve">Hambúrguer</t>
  </si>
  <si>
    <t xml:space="preserve">Rendimento total (kg):</t>
  </si>
  <si>
    <t xml:space="preserve">Peso por porção (kg):</t>
  </si>
  <si>
    <t xml:space="preserve">Custo total:</t>
  </si>
  <si>
    <t xml:space="preserve">Custo por porção:</t>
  </si>
  <si>
    <t xml:space="preserve">Nº de porções:</t>
  </si>
  <si>
    <t xml:space="preserve">Data:</t>
  </si>
  <si>
    <t xml:space="preserve">INGREDIENTES</t>
  </si>
  <si>
    <t xml:space="preserve">INSUMO</t>
  </si>
  <si>
    <t xml:space="preserve">UNIDADE</t>
  </si>
  <si>
    <t xml:space="preserve">PESO BRUTO
(kg/un)</t>
  </si>
  <si>
    <t xml:space="preserve">PESO LÍQUIDO
(kg)</t>
  </si>
  <si>
    <t xml:space="preserve">FC</t>
  </si>
  <si>
    <t xml:space="preserve">IC</t>
  </si>
  <si>
    <t xml:space="preserve">PESO C/ COCÇÃO
(kg)</t>
  </si>
  <si>
    <t xml:space="preserve">CUSTO UNIT.
(R$/kg ou un)</t>
  </si>
  <si>
    <t xml:space="preserve">CUSTO
TOTAL (R$)</t>
  </si>
  <si>
    <t xml:space="preserve">Pão australiano</t>
  </si>
  <si>
    <t xml:space="preserve">un</t>
  </si>
  <si>
    <t xml:space="preserve">Blend bovino 80/20</t>
  </si>
  <si>
    <t xml:space="preserve">kg</t>
  </si>
  <si>
    <t xml:space="preserve">Queijo cheddar fatiado</t>
  </si>
  <si>
    <t xml:space="preserve">Alface americana</t>
  </si>
  <si>
    <t xml:space="preserve">Tomate em rodelas</t>
  </si>
  <si>
    <t xml:space="preserve">Cebola roxa fatiada</t>
  </si>
  <si>
    <t xml:space="preserve">Bacon em fatias</t>
  </si>
  <si>
    <t xml:space="preserve">Maionese artesanal</t>
  </si>
  <si>
    <t xml:space="preserve">Sal hamburguer</t>
  </si>
  <si>
    <t xml:space="preserve">Manteiga clarificada</t>
  </si>
  <si>
    <t xml:space="preserve">CUSTO TOTAL DA PREPARAÇÃO</t>
  </si>
  <si>
    <t xml:space="preserve">CUSTO POR PORÇÃO</t>
  </si>
  <si>
    <t xml:space="preserve">MODO DE PREPARO</t>
  </si>
  <si>
    <t xml:space="preserve">1. Retire o blend da geladeira 15 min antes. Tempere com sal hamburguer dos dois lados.</t>
  </si>
  <si>
    <t xml:space="preserve">2. Aqueça a chapa em fogo alto até atingir ~220°C. Grelhe o blend por 3 min de cada lado (ponto ao ponto).</t>
  </si>
  <si>
    <t xml:space="preserve">3. Na última virada, coloque o cheddar sobre o blend e tampe por 30 segundos para derreter.</t>
  </si>
  <si>
    <t xml:space="preserve">4. Passe manteiga clarificada nas faces internas do pão e toste na chapa por 1 min.</t>
  </si>
  <si>
    <t xml:space="preserve">5. Montagem (de baixo para cima): base do pão → maionese → alface → tomate → cebola → blend com queijo → bacon → maionese → topo do pão.</t>
  </si>
  <si>
    <t xml:space="preserve">6. Sirva imediatamente.</t>
  </si>
  <si>
    <t xml:space="preserve">Documento gerado pelo Mindnutri — Agente de IA Mindhub | www.mindhub.com.br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</si>
</sst>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"/>
    <numFmt numFmtId="166" formatCode="&quot;R$ &quot;#,##0.00"/>
    <numFmt numFmtId="167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1A"/>
        <bgColor rgb="FF2D2D2D"/>
      </patternFill>
    </fill>
    <fill>
      <patternFill patternType="solid">
        <fgColor rgb="FFCC0000"/>
        <bgColor rgb="FF800000"/>
      </patternFill>
    </fill>
    <fill>
      <patternFill patternType="solid">
        <fgColor rgb="FFEEEEEE"/>
        <bgColor rgb="FFF7F7F7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FFFFF"/>
      </patternFill>
    </fill>
    <fill>
      <patternFill patternType="solid">
        <fgColor rgb="FF2D2D2D"/>
        <bgColor rgb="FF1A1A1A"/>
      </patternFill>
    </fill>
    <fill>
      <patternFill patternType="solid">
        <fgColor rgb="FFFFF3CD"/>
        <bgColor rgb="FFEEEE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CD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1333080</xdr:colOff>
      <xdr:row>0</xdr:row>
      <xdr:rowOff>380520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33308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8"/>
    <col collapsed="false" customWidth="true" hidden="false" outlineLevel="0" max="7" min="7" style="0" width="15"/>
    <col collapsed="false" customWidth="true" hidden="false" outlineLevel="0" max="9" min="8" style="0" width="16"/>
  </cols>
  <sheetData>
    <row r="1" customFormat="false" ht="54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1</v>
      </c>
      <c r="B3" s="4" t="s">
        <v>2</v>
      </c>
      <c r="C3" s="4"/>
      <c r="D3" s="3" t="s">
        <v>3</v>
      </c>
      <c r="E3" s="4" t="s">
        <v>4</v>
      </c>
      <c r="F3" s="4"/>
      <c r="G3" s="4"/>
      <c r="H3" s="4"/>
      <c r="I3" s="4"/>
    </row>
    <row r="4" customFormat="false" ht="21.75" hidden="false" customHeight="true" outlineLevel="0" collapsed="false">
      <c r="A4" s="3" t="s">
        <v>5</v>
      </c>
      <c r="B4" s="4" t="s">
        <v>6</v>
      </c>
      <c r="C4" s="4"/>
      <c r="D4" s="3" t="s">
        <v>7</v>
      </c>
      <c r="E4" s="4" t="s">
        <v>8</v>
      </c>
      <c r="F4" s="4"/>
      <c r="G4" s="4"/>
      <c r="H4" s="4"/>
      <c r="I4" s="4"/>
    </row>
    <row r="5" customFormat="false" ht="21.75" hidden="false" customHeight="true" outlineLevel="0" collapsed="false">
      <c r="A5" s="3" t="s">
        <v>9</v>
      </c>
      <c r="B5" s="5" t="n">
        <f aca="false">SUM(G11:G42)</f>
        <v>0.3934</v>
      </c>
      <c r="C5" s="5"/>
      <c r="D5" s="3" t="s">
        <v>10</v>
      </c>
      <c r="E5" s="5" t="n">
        <v>0.393</v>
      </c>
      <c r="F5" s="5"/>
      <c r="G5" s="5"/>
      <c r="H5" s="5"/>
      <c r="I5" s="5"/>
    </row>
    <row r="6" customFormat="false" ht="21.75" hidden="false" customHeight="true" outlineLevel="0" collapsed="false">
      <c r="A6" s="3" t="s">
        <v>11</v>
      </c>
      <c r="B6" s="6" t="n">
        <f aca="false">SUM(I11:I42)</f>
        <v>11.3834</v>
      </c>
      <c r="C6" s="6"/>
      <c r="D6" s="3" t="s">
        <v>12</v>
      </c>
      <c r="E6" s="6" t="n">
        <f aca="false">IFERROR(B6/B7,"-")</f>
        <v>11.3718256227758</v>
      </c>
      <c r="F6" s="6"/>
      <c r="G6" s="6"/>
      <c r="H6" s="6"/>
      <c r="I6" s="6"/>
    </row>
    <row r="7" customFormat="false" ht="21.75" hidden="false" customHeight="true" outlineLevel="0" collapsed="false">
      <c r="A7" s="3" t="s">
        <v>13</v>
      </c>
      <c r="B7" s="7" t="n">
        <f aca="false">IFERROR(B5/E5,"-")</f>
        <v>1.00101781170483</v>
      </c>
      <c r="C7" s="7"/>
      <c r="D7" s="3" t="s">
        <v>14</v>
      </c>
      <c r="E7" s="4"/>
      <c r="F7" s="4"/>
      <c r="G7" s="4"/>
      <c r="H7" s="4"/>
      <c r="I7" s="4"/>
    </row>
    <row r="8" customFormat="false" ht="7.5" hidden="false" customHeight="true" outlineLevel="0" collapsed="false"/>
    <row r="9" customFormat="false" ht="19.5" hidden="false" customHeight="true" outlineLevel="0" collapsed="false">
      <c r="A9" s="8" t="s">
        <v>15</v>
      </c>
      <c r="B9" s="8"/>
      <c r="C9" s="8"/>
      <c r="D9" s="8"/>
      <c r="E9" s="8"/>
      <c r="F9" s="8"/>
      <c r="G9" s="8"/>
      <c r="H9" s="8"/>
      <c r="I9" s="8"/>
    </row>
    <row r="10" customFormat="false" ht="27.75" hidden="false" customHeight="true" outlineLevel="0" collapsed="false">
      <c r="A10" s="9" t="s">
        <v>16</v>
      </c>
      <c r="B10" s="9" t="s">
        <v>17</v>
      </c>
      <c r="C10" s="9" t="s">
        <v>18</v>
      </c>
      <c r="D10" s="9" t="s">
        <v>19</v>
      </c>
      <c r="E10" s="9" t="s">
        <v>20</v>
      </c>
      <c r="F10" s="9" t="s">
        <v>21</v>
      </c>
      <c r="G10" s="9" t="s">
        <v>22</v>
      </c>
      <c r="H10" s="9" t="s">
        <v>23</v>
      </c>
      <c r="I10" s="9" t="s">
        <v>24</v>
      </c>
    </row>
    <row r="11" customFormat="false" ht="18" hidden="false" customHeight="true" outlineLevel="0" collapsed="false">
      <c r="A11" s="10" t="s">
        <v>25</v>
      </c>
      <c r="B11" s="11" t="s">
        <v>26</v>
      </c>
      <c r="C11" s="12" t="n">
        <v>0.09</v>
      </c>
      <c r="D11" s="12" t="n">
        <v>0.09</v>
      </c>
      <c r="E11" s="12" t="n">
        <v>1</v>
      </c>
      <c r="F11" s="12" t="n">
        <v>1</v>
      </c>
      <c r="G11" s="12" t="n">
        <f aca="false">D11*F11</f>
        <v>0.09</v>
      </c>
      <c r="H11" s="13" t="n">
        <v>4.5</v>
      </c>
      <c r="I11" s="13" t="n">
        <f aca="false">H11*D11</f>
        <v>0.405</v>
      </c>
    </row>
    <row r="12" customFormat="false" ht="18" hidden="false" customHeight="true" outlineLevel="0" collapsed="false">
      <c r="A12" s="14" t="s">
        <v>27</v>
      </c>
      <c r="B12" s="15" t="s">
        <v>28</v>
      </c>
      <c r="C12" s="16" t="n">
        <v>0.18</v>
      </c>
      <c r="D12" s="16" t="n">
        <v>0.18</v>
      </c>
      <c r="E12" s="16" t="n">
        <v>1</v>
      </c>
      <c r="F12" s="16" t="n">
        <v>0.78</v>
      </c>
      <c r="G12" s="16" t="n">
        <f aca="false">D12*F12</f>
        <v>0.1404</v>
      </c>
      <c r="H12" s="17" t="n">
        <v>38.9</v>
      </c>
      <c r="I12" s="17" t="n">
        <f aca="false">H12*D12</f>
        <v>7.002</v>
      </c>
    </row>
    <row r="13" customFormat="false" ht="18" hidden="false" customHeight="true" outlineLevel="0" collapsed="false">
      <c r="A13" s="10" t="s">
        <v>29</v>
      </c>
      <c r="B13" s="11" t="s">
        <v>28</v>
      </c>
      <c r="C13" s="12" t="n">
        <v>0.03</v>
      </c>
      <c r="D13" s="12" t="n">
        <v>0.03</v>
      </c>
      <c r="E13" s="12" t="n">
        <v>1</v>
      </c>
      <c r="F13" s="12" t="n">
        <v>1</v>
      </c>
      <c r="G13" s="12" t="n">
        <f aca="false">D13*F13</f>
        <v>0.03</v>
      </c>
      <c r="H13" s="13" t="n">
        <v>42</v>
      </c>
      <c r="I13" s="13" t="n">
        <f aca="false">H13*D13</f>
        <v>1.26</v>
      </c>
    </row>
    <row r="14" customFormat="false" ht="18" hidden="false" customHeight="true" outlineLevel="0" collapsed="false">
      <c r="A14" s="14" t="s">
        <v>30</v>
      </c>
      <c r="B14" s="15" t="s">
        <v>28</v>
      </c>
      <c r="C14" s="16" t="n">
        <v>0.025</v>
      </c>
      <c r="D14" s="16" t="n">
        <v>0.02</v>
      </c>
      <c r="E14" s="16" t="n">
        <v>0.8</v>
      </c>
      <c r="F14" s="16" t="n">
        <v>1</v>
      </c>
      <c r="G14" s="16" t="n">
        <f aca="false">D14*F14</f>
        <v>0.02</v>
      </c>
      <c r="H14" s="17" t="n">
        <v>11.7</v>
      </c>
      <c r="I14" s="17" t="n">
        <f aca="false">H14*D14</f>
        <v>0.234</v>
      </c>
    </row>
    <row r="15" customFormat="false" ht="18" hidden="false" customHeight="true" outlineLevel="0" collapsed="false">
      <c r="A15" s="10" t="s">
        <v>31</v>
      </c>
      <c r="B15" s="11" t="s">
        <v>28</v>
      </c>
      <c r="C15" s="12" t="n">
        <v>0.04</v>
      </c>
      <c r="D15" s="12" t="n">
        <v>0.032</v>
      </c>
      <c r="E15" s="12" t="n">
        <v>0.8</v>
      </c>
      <c r="F15" s="12" t="n">
        <v>1</v>
      </c>
      <c r="G15" s="12" t="n">
        <f aca="false">D15*F15</f>
        <v>0.032</v>
      </c>
      <c r="H15" s="13" t="n">
        <v>8.5</v>
      </c>
      <c r="I15" s="13" t="n">
        <f aca="false">H15*D15</f>
        <v>0.272</v>
      </c>
    </row>
    <row r="16" customFormat="false" ht="18" hidden="false" customHeight="true" outlineLevel="0" collapsed="false">
      <c r="A16" s="14" t="s">
        <v>32</v>
      </c>
      <c r="B16" s="15" t="s">
        <v>28</v>
      </c>
      <c r="C16" s="16" t="n">
        <v>0.02</v>
      </c>
      <c r="D16" s="16" t="n">
        <v>0.016</v>
      </c>
      <c r="E16" s="16" t="n">
        <v>0.8</v>
      </c>
      <c r="F16" s="16" t="n">
        <v>1</v>
      </c>
      <c r="G16" s="16" t="n">
        <f aca="false">D16*F16</f>
        <v>0.016</v>
      </c>
      <c r="H16" s="17" t="n">
        <v>5.9</v>
      </c>
      <c r="I16" s="17" t="n">
        <f aca="false">H16*D16</f>
        <v>0.0944</v>
      </c>
    </row>
    <row r="17" customFormat="false" ht="18" hidden="false" customHeight="true" outlineLevel="0" collapsed="false">
      <c r="A17" s="10" t="s">
        <v>33</v>
      </c>
      <c r="B17" s="11" t="s">
        <v>28</v>
      </c>
      <c r="C17" s="12" t="n">
        <v>0.04</v>
      </c>
      <c r="D17" s="12" t="n">
        <v>0.04</v>
      </c>
      <c r="E17" s="12" t="n">
        <v>1</v>
      </c>
      <c r="F17" s="12" t="n">
        <v>0.7</v>
      </c>
      <c r="G17" s="12" t="n">
        <f aca="false">D17*F17</f>
        <v>0.028</v>
      </c>
      <c r="H17" s="13" t="n">
        <v>32.9</v>
      </c>
      <c r="I17" s="13" t="n">
        <f aca="false">H17*D17</f>
        <v>1.316</v>
      </c>
    </row>
    <row r="18" customFormat="false" ht="18" hidden="false" customHeight="true" outlineLevel="0" collapsed="false">
      <c r="A18" s="14" t="s">
        <v>34</v>
      </c>
      <c r="B18" s="15" t="s">
        <v>28</v>
      </c>
      <c r="C18" s="16" t="n">
        <v>0.025</v>
      </c>
      <c r="D18" s="16" t="n">
        <v>0.025</v>
      </c>
      <c r="E18" s="16" t="n">
        <v>1</v>
      </c>
      <c r="F18" s="16" t="n">
        <v>1</v>
      </c>
      <c r="G18" s="16" t="n">
        <f aca="false">D18*F18</f>
        <v>0.025</v>
      </c>
      <c r="H18" s="17" t="n">
        <v>18</v>
      </c>
      <c r="I18" s="17" t="n">
        <f aca="false">H18*D18</f>
        <v>0.45</v>
      </c>
    </row>
    <row r="19" customFormat="false" ht="18" hidden="false" customHeight="true" outlineLevel="0" collapsed="false">
      <c r="A19" s="10" t="s">
        <v>35</v>
      </c>
      <c r="B19" s="11" t="s">
        <v>28</v>
      </c>
      <c r="C19" s="12" t="n">
        <v>0.002</v>
      </c>
      <c r="D19" s="12" t="n">
        <v>0.002</v>
      </c>
      <c r="E19" s="12" t="n">
        <v>1</v>
      </c>
      <c r="F19" s="12" t="n">
        <v>1</v>
      </c>
      <c r="G19" s="12" t="n">
        <f aca="false">D19*F19</f>
        <v>0.002</v>
      </c>
      <c r="H19" s="13" t="n">
        <v>15</v>
      </c>
      <c r="I19" s="13" t="n">
        <f aca="false">H19*D19</f>
        <v>0.03</v>
      </c>
    </row>
    <row r="20" customFormat="false" ht="18" hidden="false" customHeight="true" outlineLevel="0" collapsed="false">
      <c r="A20" s="14" t="s">
        <v>36</v>
      </c>
      <c r="B20" s="15" t="s">
        <v>28</v>
      </c>
      <c r="C20" s="16" t="n">
        <v>0.01</v>
      </c>
      <c r="D20" s="16" t="n">
        <v>0.01</v>
      </c>
      <c r="E20" s="16" t="n">
        <v>1</v>
      </c>
      <c r="F20" s="16" t="n">
        <v>1</v>
      </c>
      <c r="G20" s="16" t="n">
        <f aca="false">D20*F20</f>
        <v>0.01</v>
      </c>
      <c r="H20" s="17" t="n">
        <v>32</v>
      </c>
      <c r="I20" s="17" t="n">
        <f aca="false">H20*D20</f>
        <v>0.32</v>
      </c>
    </row>
    <row r="21" customFormat="false" ht="15.75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15.75" hidden="false" customHeight="true" outlineLevel="0" collapsed="false">
      <c r="A22" s="19"/>
      <c r="B22" s="19"/>
      <c r="C22" s="19"/>
      <c r="D22" s="19"/>
      <c r="E22" s="19"/>
      <c r="F22" s="19"/>
      <c r="G22" s="19"/>
      <c r="H22" s="19"/>
      <c r="I22" s="19"/>
    </row>
    <row r="23" customFormat="false" ht="15.75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15.75" hidden="false" customHeight="true" outlineLevel="0" collapsed="false">
      <c r="A24" s="19"/>
      <c r="B24" s="19"/>
      <c r="C24" s="19"/>
      <c r="D24" s="19"/>
      <c r="E24" s="19"/>
      <c r="F24" s="19"/>
      <c r="G24" s="19"/>
      <c r="H24" s="19"/>
      <c r="I24" s="19"/>
    </row>
    <row r="25" customFormat="false" ht="15.75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15.7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</row>
    <row r="27" customFormat="false" ht="15.75" hidden="false" customHeight="true" outlineLevel="0" collapsed="false">
      <c r="A27" s="18"/>
      <c r="B27" s="18"/>
      <c r="C27" s="18"/>
      <c r="D27" s="18"/>
      <c r="E27" s="18"/>
      <c r="F27" s="18"/>
      <c r="G27" s="18"/>
      <c r="H27" s="18"/>
      <c r="I27" s="18"/>
    </row>
    <row r="28" customFormat="false" ht="15.75" hidden="false" customHeight="true" outlineLevel="0" collapsed="false">
      <c r="A28" s="19"/>
      <c r="B28" s="19"/>
      <c r="C28" s="19"/>
      <c r="D28" s="19"/>
      <c r="E28" s="19"/>
      <c r="F28" s="19"/>
      <c r="G28" s="19"/>
      <c r="H28" s="19"/>
      <c r="I28" s="19"/>
    </row>
    <row r="29" customFormat="false" ht="15.75" hidden="false" customHeight="true" outlineLevel="0" collapsed="false">
      <c r="A29" s="18"/>
      <c r="B29" s="18"/>
      <c r="C29" s="18"/>
      <c r="D29" s="18"/>
      <c r="E29" s="18"/>
      <c r="F29" s="18"/>
      <c r="G29" s="18"/>
      <c r="H29" s="18"/>
      <c r="I29" s="18"/>
    </row>
    <row r="30" customFormat="false" ht="15.75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  <c r="I30" s="19"/>
    </row>
    <row r="31" customFormat="false" ht="15.75" hidden="false" customHeight="true" outlineLevel="0" collapsed="false">
      <c r="A31" s="18"/>
      <c r="B31" s="18"/>
      <c r="C31" s="18"/>
      <c r="D31" s="18"/>
      <c r="E31" s="18"/>
      <c r="F31" s="18"/>
      <c r="G31" s="18"/>
      <c r="H31" s="18"/>
      <c r="I31" s="18"/>
    </row>
    <row r="32" customFormat="false" ht="15.75" hidden="false" customHeight="true" outlineLevel="0" collapsed="false">
      <c r="A32" s="19"/>
      <c r="B32" s="19"/>
      <c r="C32" s="19"/>
      <c r="D32" s="19"/>
      <c r="E32" s="19"/>
      <c r="F32" s="19"/>
      <c r="G32" s="19"/>
      <c r="H32" s="19"/>
      <c r="I32" s="19"/>
    </row>
    <row r="33" customFormat="false" ht="15.75" hidden="false" customHeight="true" outlineLevel="0" collapsed="false">
      <c r="A33" s="18"/>
      <c r="B33" s="18"/>
      <c r="C33" s="18"/>
      <c r="D33" s="18"/>
      <c r="E33" s="18"/>
      <c r="F33" s="18"/>
      <c r="G33" s="18"/>
      <c r="H33" s="18"/>
      <c r="I33" s="18"/>
    </row>
    <row r="34" customFormat="false" ht="15.75" hidden="false" customHeight="true" outlineLevel="0" collapsed="false">
      <c r="A34" s="19"/>
      <c r="B34" s="19"/>
      <c r="C34" s="19"/>
      <c r="D34" s="19"/>
      <c r="E34" s="19"/>
      <c r="F34" s="19"/>
      <c r="G34" s="19"/>
      <c r="H34" s="19"/>
      <c r="I34" s="19"/>
    </row>
    <row r="35" customFormat="false" ht="15.75" hidden="false" customHeight="true" outlineLevel="0" collapsed="false">
      <c r="A35" s="18"/>
      <c r="B35" s="18"/>
      <c r="C35" s="18"/>
      <c r="D35" s="18"/>
      <c r="E35" s="18"/>
      <c r="F35" s="18"/>
      <c r="G35" s="18"/>
      <c r="H35" s="18"/>
      <c r="I35" s="18"/>
    </row>
    <row r="36" customFormat="false" ht="15.75" hidden="false" customHeight="true" outlineLevel="0" collapsed="false">
      <c r="A36" s="19"/>
      <c r="B36" s="19"/>
      <c r="C36" s="19"/>
      <c r="D36" s="19"/>
      <c r="E36" s="19"/>
      <c r="F36" s="19"/>
      <c r="G36" s="19"/>
      <c r="H36" s="19"/>
      <c r="I36" s="19"/>
    </row>
    <row r="37" customFormat="false" ht="15.75" hidden="false" customHeight="true" outlineLevel="0" collapsed="false">
      <c r="A37" s="18"/>
      <c r="B37" s="18"/>
      <c r="C37" s="18"/>
      <c r="D37" s="18"/>
      <c r="E37" s="18"/>
      <c r="F37" s="18"/>
      <c r="G37" s="18"/>
      <c r="H37" s="18"/>
      <c r="I37" s="18"/>
    </row>
    <row r="38" customFormat="false" ht="15.75" hidden="false" customHeight="true" outlineLevel="0" collapsed="false">
      <c r="A38" s="19"/>
      <c r="B38" s="19"/>
      <c r="C38" s="19"/>
      <c r="D38" s="19"/>
      <c r="E38" s="19"/>
      <c r="F38" s="19"/>
      <c r="G38" s="19"/>
      <c r="H38" s="19"/>
      <c r="I38" s="19"/>
    </row>
    <row r="39" customFormat="false" ht="15.75" hidden="false" customHeight="true" outlineLevel="0" collapsed="false">
      <c r="A39" s="18"/>
      <c r="B39" s="18"/>
      <c r="C39" s="18"/>
      <c r="D39" s="18"/>
      <c r="E39" s="18"/>
      <c r="F39" s="18"/>
      <c r="G39" s="18"/>
      <c r="H39" s="18"/>
      <c r="I39" s="18"/>
    </row>
    <row r="40" customFormat="false" ht="15.75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  <c r="I40" s="19"/>
    </row>
    <row r="41" customFormat="false" ht="15.75" hidden="false" customHeight="true" outlineLevel="0" collapsed="false">
      <c r="A41" s="18"/>
      <c r="B41" s="18"/>
      <c r="C41" s="18"/>
      <c r="D41" s="18"/>
      <c r="E41" s="18"/>
      <c r="F41" s="18"/>
      <c r="G41" s="18"/>
      <c r="H41" s="18"/>
      <c r="I41" s="18"/>
    </row>
    <row r="42" customFormat="false" ht="15.75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  <c r="I42" s="19"/>
    </row>
    <row r="43" customFormat="false" ht="21.75" hidden="false" customHeight="true" outlineLevel="0" collapsed="false">
      <c r="A43" s="20" t="s">
        <v>37</v>
      </c>
      <c r="B43" s="20"/>
      <c r="C43" s="20"/>
      <c r="D43" s="20"/>
      <c r="E43" s="20"/>
      <c r="F43" s="20"/>
      <c r="G43" s="20"/>
      <c r="H43" s="20"/>
      <c r="I43" s="21" t="n">
        <f aca="false">SUM(I11:I42)</f>
        <v>11.3834</v>
      </c>
    </row>
    <row r="44" customFormat="false" ht="21.75" hidden="false" customHeight="true" outlineLevel="0" collapsed="false">
      <c r="A44" s="22" t="s">
        <v>38</v>
      </c>
      <c r="B44" s="22"/>
      <c r="C44" s="22"/>
      <c r="D44" s="22"/>
      <c r="E44" s="22"/>
      <c r="F44" s="22"/>
      <c r="G44" s="22"/>
      <c r="H44" s="22"/>
      <c r="I44" s="23" t="n">
        <f aca="false">IFERROR(B6/B7,"-")</f>
        <v>11.3718256227758</v>
      </c>
    </row>
    <row r="45" customFormat="false" ht="7.5" hidden="false" customHeight="true" outlineLevel="0" collapsed="false"/>
    <row r="46" customFormat="false" ht="19.5" hidden="false" customHeight="true" outlineLevel="0" collapsed="false">
      <c r="A46" s="8" t="s">
        <v>39</v>
      </c>
      <c r="B46" s="8"/>
      <c r="C46" s="8"/>
      <c r="D46" s="8"/>
      <c r="E46" s="8"/>
      <c r="F46" s="8"/>
      <c r="G46" s="8"/>
      <c r="H46" s="8"/>
      <c r="I46" s="8"/>
    </row>
    <row r="47" customFormat="false" ht="19.5" hidden="false" customHeight="true" outlineLevel="0" collapsed="false">
      <c r="A47" s="24" t="s">
        <v>40</v>
      </c>
      <c r="B47" s="24"/>
      <c r="C47" s="24"/>
      <c r="D47" s="24"/>
      <c r="E47" s="24"/>
      <c r="F47" s="24"/>
      <c r="G47" s="24"/>
      <c r="H47" s="24"/>
      <c r="I47" s="24"/>
    </row>
    <row r="48" customFormat="false" ht="19.5" hidden="false" customHeight="true" outlineLevel="0" collapsed="false">
      <c r="A48" s="25" t="s">
        <v>41</v>
      </c>
      <c r="B48" s="25"/>
      <c r="C48" s="25"/>
      <c r="D48" s="25"/>
      <c r="E48" s="25"/>
      <c r="F48" s="25"/>
      <c r="G48" s="25"/>
      <c r="H48" s="25"/>
      <c r="I48" s="25"/>
    </row>
    <row r="49" customFormat="false" ht="19.5" hidden="false" customHeight="true" outlineLevel="0" collapsed="false">
      <c r="A49" s="24" t="s">
        <v>42</v>
      </c>
      <c r="B49" s="24"/>
      <c r="C49" s="24"/>
      <c r="D49" s="24"/>
      <c r="E49" s="24"/>
      <c r="F49" s="24"/>
      <c r="G49" s="24"/>
      <c r="H49" s="24"/>
      <c r="I49" s="24"/>
    </row>
    <row r="50" customFormat="false" ht="19.5" hidden="false" customHeight="true" outlineLevel="0" collapsed="false">
      <c r="A50" s="25" t="s">
        <v>43</v>
      </c>
      <c r="B50" s="25"/>
      <c r="C50" s="25"/>
      <c r="D50" s="25"/>
      <c r="E50" s="25"/>
      <c r="F50" s="25"/>
      <c r="G50" s="25"/>
      <c r="H50" s="25"/>
      <c r="I50" s="25"/>
    </row>
    <row r="51" customFormat="false" ht="19.5" hidden="false" customHeight="true" outlineLevel="0" collapsed="false">
      <c r="A51" s="24" t="s">
        <v>44</v>
      </c>
      <c r="B51" s="24"/>
      <c r="C51" s="24"/>
      <c r="D51" s="24"/>
      <c r="E51" s="24"/>
      <c r="F51" s="24"/>
      <c r="G51" s="24"/>
      <c r="H51" s="24"/>
      <c r="I51" s="24"/>
    </row>
    <row r="52" customFormat="false" ht="19.5" hidden="false" customHeight="true" outlineLevel="0" collapsed="false">
      <c r="A52" s="25" t="s">
        <v>45</v>
      </c>
      <c r="B52" s="25"/>
      <c r="C52" s="25"/>
      <c r="D52" s="25"/>
      <c r="E52" s="25"/>
      <c r="F52" s="25"/>
      <c r="G52" s="25"/>
      <c r="H52" s="25"/>
      <c r="I52" s="25"/>
    </row>
    <row r="54" customFormat="false" ht="18" hidden="false" customHeight="true" outlineLevel="0" collapsed="false">
      <c r="A54" s="26" t="s">
        <v>46</v>
      </c>
      <c r="B54" s="26"/>
      <c r="C54" s="26"/>
      <c r="D54" s="26"/>
      <c r="E54" s="26"/>
      <c r="F54" s="26"/>
      <c r="G54" s="26"/>
      <c r="H54" s="26"/>
      <c r="I54" s="26"/>
    </row>
  </sheetData>
  <mergeCells count="23">
    <mergeCell ref="A1:I1"/>
    <mergeCell ref="A2:I2"/>
    <mergeCell ref="B3:C3"/>
    <mergeCell ref="E3:I3"/>
    <mergeCell ref="B4:C4"/>
    <mergeCell ref="E4:I4"/>
    <mergeCell ref="B5:C5"/>
    <mergeCell ref="E5:I5"/>
    <mergeCell ref="B6:C6"/>
    <mergeCell ref="E6:I6"/>
    <mergeCell ref="B7:C7"/>
    <mergeCell ref="E7:I7"/>
    <mergeCell ref="A9:I9"/>
    <mergeCell ref="A43:H43"/>
    <mergeCell ref="A44:H44"/>
    <mergeCell ref="A46:I46"/>
    <mergeCell ref="A47:I47"/>
    <mergeCell ref="A48:I48"/>
    <mergeCell ref="A49:I49"/>
    <mergeCell ref="A50:I50"/>
    <mergeCell ref="A51:I51"/>
    <mergeCell ref="A52:I52"/>
    <mergeCell ref="A54:I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2026-03-14T02:09:13Z</dcterms:created>
  <dc:creator>openpyxl</dc:creator>
  <dc:description/>
  <dc:language>en-US</dc:language>
  <cp:lastModifiedBy/>
  <dcterms:modified xsi:type="dcterms:W3CDTF">2026-03-14T02:09:13Z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