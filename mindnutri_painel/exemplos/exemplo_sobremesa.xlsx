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Técn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<sst xmlns="http://schemas.openxmlformats.org/spreadsheetml/2006/main" count="56" uniqueCount="48">
  <si>
    <t xml:space="preserve">FICHA TÉCNICA DE PREPARO</t>
  </si>
  <si>
    <t xml:space="preserve">Estabelecimento:</t>
  </si>
  <si>
    <t xml:space="preserve">Exemplo — Demonstração Mindnutri</t>
  </si>
  <si>
    <t xml:space="preserve">Código:</t>
  </si>
  <si>
    <t xml:space="preserve">SOB001</t>
  </si>
  <si>
    <t xml:space="preserve">Nome da preparação:</t>
  </si>
  <si>
    <t xml:space="preserve">Brownie de Chocolate com Sorvete</t>
  </si>
  <si>
    <t xml:space="preserve">Classificação:</t>
  </si>
  <si>
    <t xml:space="preserve">Sobremesa</t>
  </si>
  <si>
    <t xml:space="preserve">Rendimento total (kg):</t>
  </si>
  <si>
    <t xml:space="preserve">Peso por porção (kg):</t>
  </si>
  <si>
    <t xml:space="preserve">Custo total:</t>
  </si>
  <si>
    <t xml:space="preserve">Custo por porção:</t>
  </si>
  <si>
    <t xml:space="preserve">Nº de porções:</t>
  </si>
  <si>
    <t xml:space="preserve">Data:</t>
  </si>
  <si>
    <t xml:space="preserve">INGREDIENTES</t>
  </si>
  <si>
    <t xml:space="preserve">INSUMO</t>
  </si>
  <si>
    <t xml:space="preserve">UNIDADE</t>
  </si>
  <si>
    <t xml:space="preserve">PESO BRUTO
(kg/un)</t>
  </si>
  <si>
    <t xml:space="preserve">PESO LÍQUIDO
(kg)</t>
  </si>
  <si>
    <t xml:space="preserve">FC</t>
  </si>
  <si>
    <t xml:space="preserve">IC</t>
  </si>
  <si>
    <t xml:space="preserve">PESO C/ COCÇÃO
(kg)</t>
  </si>
  <si>
    <t xml:space="preserve">CUSTO UNIT.
(R$/kg ou un)</t>
  </si>
  <si>
    <t xml:space="preserve">CUSTO
TOTAL (R$)</t>
  </si>
  <si>
    <t xml:space="preserve">Chocolate meio amargo 55%</t>
  </si>
  <si>
    <t xml:space="preserve">kg</t>
  </si>
  <si>
    <t xml:space="preserve">Manteiga sem sal</t>
  </si>
  <si>
    <t xml:space="preserve">Açúcar cristal</t>
  </si>
  <si>
    <t xml:space="preserve">Ovos inteiros</t>
  </si>
  <si>
    <t xml:space="preserve">un</t>
  </si>
  <si>
    <t xml:space="preserve">Farinha de trigo</t>
  </si>
  <si>
    <t xml:space="preserve">Cacau em pó 100%</t>
  </si>
  <si>
    <t xml:space="preserve">Sal refinado</t>
  </si>
  <si>
    <t xml:space="preserve">Sorvete creme (bola)</t>
  </si>
  <si>
    <t xml:space="preserve">Calda de chocolate</t>
  </si>
  <si>
    <t xml:space="preserve">Nozes picadas (opcional)</t>
  </si>
  <si>
    <t xml:space="preserve">CUSTO TOTAL DA PREPARAÇÃO</t>
  </si>
  <si>
    <t xml:space="preserve">CUSTO POR PORÇÃO</t>
  </si>
  <si>
    <t xml:space="preserve">MODO DE PREPARO</t>
  </si>
  <si>
    <t xml:space="preserve">1. Pré-aqueça o forno a 180°C. Unte forma de 20x20 cm com manteiga e cacau.</t>
  </si>
  <si>
    <t xml:space="preserve">2. Derreta chocolate com manteiga em banho-maria (máx 60°C). Reserve e deixe amornar.</t>
  </si>
  <si>
    <t xml:space="preserve">3. Bata ovos com açúcar até espumar levemente (~2 min). Incorpore o chocolate derretido.</t>
  </si>
  <si>
    <t xml:space="preserve">4. Peneire farinha, cacau e sal sobre a mistura. Incorpore delicadamente com espátula.</t>
  </si>
  <si>
    <t xml:space="preserve">5. Despeje na forma. Asse por 22-25 min (palito deve sair levemente úmido — não seco).</t>
  </si>
  <si>
    <t xml:space="preserve">6. Deixe esfriar 15 min. Corte em 8 quadrados iguais (~80g cada).</t>
  </si>
  <si>
    <t xml:space="preserve">7. Sirva com 1 bola de sorvete creme, fio de calda de chocolate e nozes por cima.</t>
  </si>
  <si>
    <t xml:space="preserve">Documento gerado pelo Mindnutri — Agente de IA Mindhub | www.mindhub.com.br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</si>
</sst>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&quot;R$ &quot;#,##0.00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CC0000"/>
        <bgColor rgb="FF800000"/>
      </patternFill>
    </fill>
    <fill>
      <patternFill patternType="solid">
        <fgColor rgb="FFEEEEEE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rgb="FF2D2D2D"/>
        <bgColor rgb="FF1A1A1A"/>
      </patternFill>
    </fill>
    <fill>
      <patternFill patternType="solid">
        <fgColor rgb="FFFFF3CD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1333080</xdr:colOff>
      <xdr:row>0</xdr:row>
      <xdr:rowOff>380520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33308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7" min="7" style="0" width="15"/>
    <col collapsed="false" customWidth="true" hidden="false" outlineLevel="0" max="9" min="8" style="0" width="16"/>
  </cols>
  <sheetData>
    <row r="1" customFormat="false" ht="54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1</v>
      </c>
      <c r="B3" s="4" t="s">
        <v>2</v>
      </c>
      <c r="C3" s="4"/>
      <c r="D3" s="3" t="s">
        <v>3</v>
      </c>
      <c r="E3" s="4" t="s">
        <v>4</v>
      </c>
      <c r="F3" s="4"/>
      <c r="G3" s="4"/>
      <c r="H3" s="4"/>
      <c r="I3" s="4"/>
    </row>
    <row r="4" customFormat="false" ht="21.75" hidden="false" customHeight="true" outlineLevel="0" collapsed="false">
      <c r="A4" s="3" t="s">
        <v>5</v>
      </c>
      <c r="B4" s="4" t="s">
        <v>6</v>
      </c>
      <c r="C4" s="4"/>
      <c r="D4" s="3" t="s">
        <v>7</v>
      </c>
      <c r="E4" s="4" t="s">
        <v>8</v>
      </c>
      <c r="F4" s="4"/>
      <c r="G4" s="4"/>
      <c r="H4" s="4"/>
      <c r="I4" s="4"/>
    </row>
    <row r="5" customFormat="false" ht="21.75" hidden="false" customHeight="true" outlineLevel="0" collapsed="false">
      <c r="A5" s="3" t="s">
        <v>9</v>
      </c>
      <c r="B5" s="5" t="n">
        <f aca="false">SUM(G11:G42)</f>
        <v>0.947</v>
      </c>
      <c r="C5" s="5"/>
      <c r="D5" s="3" t="s">
        <v>10</v>
      </c>
      <c r="E5" s="5" t="n">
        <v>0.1</v>
      </c>
      <c r="F5" s="5"/>
      <c r="G5" s="5"/>
      <c r="H5" s="5"/>
      <c r="I5" s="5"/>
    </row>
    <row r="6" customFormat="false" ht="21.75" hidden="false" customHeight="true" outlineLevel="0" collapsed="false">
      <c r="A6" s="3" t="s">
        <v>11</v>
      </c>
      <c r="B6" s="6" t="n">
        <f aca="false">SUM(I11:I42)</f>
        <v>17.5636</v>
      </c>
      <c r="C6" s="6"/>
      <c r="D6" s="3" t="s">
        <v>12</v>
      </c>
      <c r="E6" s="6" t="n">
        <f aca="false">IFERROR(B6/B7,"-")</f>
        <v>1.85465681098205</v>
      </c>
      <c r="F6" s="6"/>
      <c r="G6" s="6"/>
      <c r="H6" s="6"/>
      <c r="I6" s="6"/>
    </row>
    <row r="7" customFormat="false" ht="21.75" hidden="false" customHeight="true" outlineLevel="0" collapsed="false">
      <c r="A7" s="3" t="s">
        <v>13</v>
      </c>
      <c r="B7" s="7" t="n">
        <f aca="false">IFERROR(B5/E5,"-")</f>
        <v>9.47</v>
      </c>
      <c r="C7" s="7"/>
      <c r="D7" s="3" t="s">
        <v>14</v>
      </c>
      <c r="E7" s="4"/>
      <c r="F7" s="4"/>
      <c r="G7" s="4"/>
      <c r="H7" s="4"/>
      <c r="I7" s="4"/>
    </row>
    <row r="8" customFormat="false" ht="7.5" hidden="false" customHeight="true" outlineLevel="0" collapsed="false"/>
    <row r="9" customFormat="false" ht="19.5" hidden="false" customHeight="true" outlineLevel="0" collapsed="false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customFormat="false" ht="27.75" hidden="false" customHeight="true" outlineLevel="0" collapsed="false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</row>
    <row r="11" customFormat="false" ht="18" hidden="false" customHeight="true" outlineLevel="0" collapsed="false">
      <c r="A11" s="10" t="s">
        <v>25</v>
      </c>
      <c r="B11" s="11" t="s">
        <v>26</v>
      </c>
      <c r="C11" s="12" t="n">
        <v>0.2</v>
      </c>
      <c r="D11" s="12" t="n">
        <v>0.2</v>
      </c>
      <c r="E11" s="12" t="n">
        <v>1</v>
      </c>
      <c r="F11" s="12" t="n">
        <v>1</v>
      </c>
      <c r="G11" s="12" t="n">
        <f aca="false">D11*F11</f>
        <v>0.2</v>
      </c>
      <c r="H11" s="13" t="n">
        <v>38</v>
      </c>
      <c r="I11" s="13" t="n">
        <f aca="false">H11*D11</f>
        <v>7.6</v>
      </c>
    </row>
    <row r="12" customFormat="false" ht="18" hidden="false" customHeight="true" outlineLevel="0" collapsed="false">
      <c r="A12" s="14" t="s">
        <v>27</v>
      </c>
      <c r="B12" s="15" t="s">
        <v>26</v>
      </c>
      <c r="C12" s="16" t="n">
        <v>0.12</v>
      </c>
      <c r="D12" s="16" t="n">
        <v>0.12</v>
      </c>
      <c r="E12" s="16" t="n">
        <v>1</v>
      </c>
      <c r="F12" s="16" t="n">
        <v>1</v>
      </c>
      <c r="G12" s="16" t="n">
        <f aca="false">D12*F12</f>
        <v>0.12</v>
      </c>
      <c r="H12" s="17" t="n">
        <v>32</v>
      </c>
      <c r="I12" s="17" t="n">
        <f aca="false">H12*D12</f>
        <v>3.84</v>
      </c>
    </row>
    <row r="13" customFormat="false" ht="18" hidden="false" customHeight="true" outlineLevel="0" collapsed="false">
      <c r="A13" s="10" t="s">
        <v>28</v>
      </c>
      <c r="B13" s="11" t="s">
        <v>26</v>
      </c>
      <c r="C13" s="12" t="n">
        <v>0.2</v>
      </c>
      <c r="D13" s="12" t="n">
        <v>0.2</v>
      </c>
      <c r="E13" s="12" t="n">
        <v>1</v>
      </c>
      <c r="F13" s="12" t="n">
        <v>1</v>
      </c>
      <c r="G13" s="12" t="n">
        <f aca="false">D13*F13</f>
        <v>0.2</v>
      </c>
      <c r="H13" s="13" t="n">
        <v>5.2</v>
      </c>
      <c r="I13" s="13" t="n">
        <f aca="false">H13*D13</f>
        <v>1.04</v>
      </c>
    </row>
    <row r="14" customFormat="false" ht="18" hidden="false" customHeight="true" outlineLevel="0" collapsed="false">
      <c r="A14" s="14" t="s">
        <v>29</v>
      </c>
      <c r="B14" s="15" t="s">
        <v>30</v>
      </c>
      <c r="C14" s="16" t="n">
        <v>3</v>
      </c>
      <c r="D14" s="16" t="n">
        <v>0.165</v>
      </c>
      <c r="E14" s="16" t="n">
        <v>1</v>
      </c>
      <c r="F14" s="16" t="n">
        <v>1</v>
      </c>
      <c r="G14" s="16" t="n">
        <f aca="false">D14*F14</f>
        <v>0.165</v>
      </c>
      <c r="H14" s="17" t="n">
        <v>0.8</v>
      </c>
      <c r="I14" s="17" t="n">
        <f aca="false">H14*D14</f>
        <v>0.132</v>
      </c>
    </row>
    <row r="15" customFormat="false" ht="18" hidden="false" customHeight="true" outlineLevel="0" collapsed="false">
      <c r="A15" s="10" t="s">
        <v>31</v>
      </c>
      <c r="B15" s="11" t="s">
        <v>26</v>
      </c>
      <c r="C15" s="12" t="n">
        <v>0.08</v>
      </c>
      <c r="D15" s="12" t="n">
        <v>0.08</v>
      </c>
      <c r="E15" s="12" t="n">
        <v>1</v>
      </c>
      <c r="F15" s="12" t="n">
        <v>1</v>
      </c>
      <c r="G15" s="12" t="n">
        <f aca="false">D15*F15</f>
        <v>0.08</v>
      </c>
      <c r="H15" s="13" t="n">
        <v>5.2</v>
      </c>
      <c r="I15" s="13" t="n">
        <f aca="false">H15*D15</f>
        <v>0.416</v>
      </c>
    </row>
    <row r="16" customFormat="false" ht="18" hidden="false" customHeight="true" outlineLevel="0" collapsed="false">
      <c r="A16" s="14" t="s">
        <v>32</v>
      </c>
      <c r="B16" s="15" t="s">
        <v>26</v>
      </c>
      <c r="C16" s="16" t="n">
        <v>0.03</v>
      </c>
      <c r="D16" s="16" t="n">
        <v>0.03</v>
      </c>
      <c r="E16" s="16" t="n">
        <v>1</v>
      </c>
      <c r="F16" s="16" t="n">
        <v>1</v>
      </c>
      <c r="G16" s="16" t="n">
        <f aca="false">D16*F16</f>
        <v>0.03</v>
      </c>
      <c r="H16" s="17" t="n">
        <v>48</v>
      </c>
      <c r="I16" s="17" t="n">
        <f aca="false">H16*D16</f>
        <v>1.44</v>
      </c>
    </row>
    <row r="17" customFormat="false" ht="18" hidden="false" customHeight="true" outlineLevel="0" collapsed="false">
      <c r="A17" s="10" t="s">
        <v>33</v>
      </c>
      <c r="B17" s="11" t="s">
        <v>26</v>
      </c>
      <c r="C17" s="12" t="n">
        <v>0.002</v>
      </c>
      <c r="D17" s="12" t="n">
        <v>0.002</v>
      </c>
      <c r="E17" s="12" t="n">
        <v>1</v>
      </c>
      <c r="F17" s="12" t="n">
        <v>1</v>
      </c>
      <c r="G17" s="12" t="n">
        <f aca="false">D17*F17</f>
        <v>0.002</v>
      </c>
      <c r="H17" s="13" t="n">
        <v>2.8</v>
      </c>
      <c r="I17" s="13" t="n">
        <f aca="false">H17*D17</f>
        <v>0.0056</v>
      </c>
    </row>
    <row r="18" customFormat="false" ht="18" hidden="false" customHeight="true" outlineLevel="0" collapsed="false">
      <c r="A18" s="14" t="s">
        <v>34</v>
      </c>
      <c r="B18" s="15" t="s">
        <v>30</v>
      </c>
      <c r="C18" s="16" t="n">
        <v>1</v>
      </c>
      <c r="D18" s="16" t="n">
        <v>0.1</v>
      </c>
      <c r="E18" s="16" t="n">
        <v>1</v>
      </c>
      <c r="F18" s="16" t="n">
        <v>1</v>
      </c>
      <c r="G18" s="16" t="n">
        <f aca="false">D18*F18</f>
        <v>0.1</v>
      </c>
      <c r="H18" s="17" t="n">
        <v>3.5</v>
      </c>
      <c r="I18" s="17" t="n">
        <f aca="false">H18*D18</f>
        <v>0.35</v>
      </c>
    </row>
    <row r="19" customFormat="false" ht="18" hidden="false" customHeight="true" outlineLevel="0" collapsed="false">
      <c r="A19" s="10" t="s">
        <v>35</v>
      </c>
      <c r="B19" s="11" t="s">
        <v>26</v>
      </c>
      <c r="C19" s="12" t="n">
        <v>0.03</v>
      </c>
      <c r="D19" s="12" t="n">
        <v>0.03</v>
      </c>
      <c r="E19" s="12" t="n">
        <v>1</v>
      </c>
      <c r="F19" s="12" t="n">
        <v>1</v>
      </c>
      <c r="G19" s="12" t="n">
        <f aca="false">D19*F19</f>
        <v>0.03</v>
      </c>
      <c r="H19" s="13" t="n">
        <v>28</v>
      </c>
      <c r="I19" s="13" t="n">
        <f aca="false">H19*D19</f>
        <v>0.84</v>
      </c>
    </row>
    <row r="20" customFormat="false" ht="18" hidden="false" customHeight="true" outlineLevel="0" collapsed="false">
      <c r="A20" s="14" t="s">
        <v>36</v>
      </c>
      <c r="B20" s="15" t="s">
        <v>26</v>
      </c>
      <c r="C20" s="16" t="n">
        <v>0.02</v>
      </c>
      <c r="D20" s="16" t="n">
        <v>0.02</v>
      </c>
      <c r="E20" s="16" t="n">
        <v>1</v>
      </c>
      <c r="F20" s="16" t="n">
        <v>1</v>
      </c>
      <c r="G20" s="16" t="n">
        <f aca="false">D20*F20</f>
        <v>0.02</v>
      </c>
      <c r="H20" s="17" t="n">
        <v>95</v>
      </c>
      <c r="I20" s="17" t="n">
        <f aca="false">H20*D20</f>
        <v>1.9</v>
      </c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15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15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15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</row>
    <row r="28" customFormat="false" ht="15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</row>
    <row r="30" customFormat="false" ht="15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</row>
    <row r="32" customFormat="false" ht="15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</row>
    <row r="34" customFormat="false" ht="15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</row>
    <row r="36" customFormat="false" ht="15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</row>
    <row r="38" customFormat="false" ht="15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</row>
    <row r="40" customFormat="false" ht="15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</row>
    <row r="42" customFormat="false" ht="15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</row>
    <row r="43" customFormat="false" ht="21.75" hidden="false" customHeight="true" outlineLevel="0" collapsed="false">
      <c r="A43" s="20" t="s">
        <v>37</v>
      </c>
      <c r="B43" s="20"/>
      <c r="C43" s="20"/>
      <c r="D43" s="20"/>
      <c r="E43" s="20"/>
      <c r="F43" s="20"/>
      <c r="G43" s="20"/>
      <c r="H43" s="20"/>
      <c r="I43" s="21" t="n">
        <f aca="false">SUM(I11:I42)</f>
        <v>17.5636</v>
      </c>
    </row>
    <row r="44" customFormat="false" ht="21.75" hidden="false" customHeight="true" outlineLevel="0" collapsed="false">
      <c r="A44" s="22" t="s">
        <v>38</v>
      </c>
      <c r="B44" s="22"/>
      <c r="C44" s="22"/>
      <c r="D44" s="22"/>
      <c r="E44" s="22"/>
      <c r="F44" s="22"/>
      <c r="G44" s="22"/>
      <c r="H44" s="22"/>
      <c r="I44" s="23" t="n">
        <f aca="false">IFERROR(B6/B7,"-")</f>
        <v>1.85465681098205</v>
      </c>
    </row>
    <row r="45" customFormat="false" ht="7.5" hidden="false" customHeight="true" outlineLevel="0" collapsed="false"/>
    <row r="46" customFormat="false" ht="19.5" hidden="false" customHeight="true" outlineLevel="0" collapsed="false">
      <c r="A46" s="8" t="s">
        <v>39</v>
      </c>
      <c r="B46" s="8"/>
      <c r="C46" s="8"/>
      <c r="D46" s="8"/>
      <c r="E46" s="8"/>
      <c r="F46" s="8"/>
      <c r="G46" s="8"/>
      <c r="H46" s="8"/>
      <c r="I46" s="8"/>
    </row>
    <row r="47" customFormat="false" ht="19.5" hidden="false" customHeight="true" outlineLevel="0" collapsed="false">
      <c r="A47" s="24" t="s">
        <v>40</v>
      </c>
      <c r="B47" s="24"/>
      <c r="C47" s="24"/>
      <c r="D47" s="24"/>
      <c r="E47" s="24"/>
      <c r="F47" s="24"/>
      <c r="G47" s="24"/>
      <c r="H47" s="24"/>
      <c r="I47" s="24"/>
    </row>
    <row r="48" customFormat="false" ht="19.5" hidden="false" customHeight="true" outlineLevel="0" collapsed="false">
      <c r="A48" s="25" t="s">
        <v>41</v>
      </c>
      <c r="B48" s="25"/>
      <c r="C48" s="25"/>
      <c r="D48" s="25"/>
      <c r="E48" s="25"/>
      <c r="F48" s="25"/>
      <c r="G48" s="25"/>
      <c r="H48" s="25"/>
      <c r="I48" s="25"/>
    </row>
    <row r="49" customFormat="false" ht="19.5" hidden="false" customHeight="true" outlineLevel="0" collapsed="false">
      <c r="A49" s="24" t="s">
        <v>42</v>
      </c>
      <c r="B49" s="24"/>
      <c r="C49" s="24"/>
      <c r="D49" s="24"/>
      <c r="E49" s="24"/>
      <c r="F49" s="24"/>
      <c r="G49" s="24"/>
      <c r="H49" s="24"/>
      <c r="I49" s="24"/>
    </row>
    <row r="50" customFormat="false" ht="19.5" hidden="false" customHeight="true" outlineLevel="0" collapsed="false">
      <c r="A50" s="25" t="s">
        <v>43</v>
      </c>
      <c r="B50" s="25"/>
      <c r="C50" s="25"/>
      <c r="D50" s="25"/>
      <c r="E50" s="25"/>
      <c r="F50" s="25"/>
      <c r="G50" s="25"/>
      <c r="H50" s="25"/>
      <c r="I50" s="25"/>
    </row>
    <row r="51" customFormat="false" ht="19.5" hidden="false" customHeight="true" outlineLevel="0" collapsed="false">
      <c r="A51" s="24" t="s">
        <v>44</v>
      </c>
      <c r="B51" s="24"/>
      <c r="C51" s="24"/>
      <c r="D51" s="24"/>
      <c r="E51" s="24"/>
      <c r="F51" s="24"/>
      <c r="G51" s="24"/>
      <c r="H51" s="24"/>
      <c r="I51" s="24"/>
    </row>
    <row r="52" customFormat="false" ht="19.5" hidden="false" customHeight="true" outlineLevel="0" collapsed="false">
      <c r="A52" s="25" t="s">
        <v>45</v>
      </c>
      <c r="B52" s="25"/>
      <c r="C52" s="25"/>
      <c r="D52" s="25"/>
      <c r="E52" s="25"/>
      <c r="F52" s="25"/>
      <c r="G52" s="25"/>
      <c r="H52" s="25"/>
      <c r="I52" s="25"/>
    </row>
    <row r="53" customFormat="false" ht="19.5" hidden="false" customHeight="true" outlineLevel="0" collapsed="false">
      <c r="A53" s="24" t="s">
        <v>46</v>
      </c>
      <c r="B53" s="24"/>
      <c r="C53" s="24"/>
      <c r="D53" s="24"/>
      <c r="E53" s="24"/>
      <c r="F53" s="24"/>
      <c r="G53" s="24"/>
      <c r="H53" s="24"/>
      <c r="I53" s="24"/>
    </row>
    <row r="55" customFormat="false" ht="18" hidden="false" customHeight="true" outlineLevel="0" collapsed="false">
      <c r="A55" s="26" t="s">
        <v>47</v>
      </c>
      <c r="B55" s="26"/>
      <c r="C55" s="26"/>
      <c r="D55" s="26"/>
      <c r="E55" s="26"/>
      <c r="F55" s="26"/>
      <c r="G55" s="26"/>
      <c r="H55" s="26"/>
      <c r="I55" s="26"/>
    </row>
  </sheetData>
  <mergeCells count="24">
    <mergeCell ref="A1:I1"/>
    <mergeCell ref="A2:I2"/>
    <mergeCell ref="B3:C3"/>
    <mergeCell ref="E3:I3"/>
    <mergeCell ref="B4:C4"/>
    <mergeCell ref="E4:I4"/>
    <mergeCell ref="B5:C5"/>
    <mergeCell ref="E5:I5"/>
    <mergeCell ref="B6:C6"/>
    <mergeCell ref="E6:I6"/>
    <mergeCell ref="B7:C7"/>
    <mergeCell ref="E7:I7"/>
    <mergeCell ref="A9:I9"/>
    <mergeCell ref="A43:H43"/>
    <mergeCell ref="A44:H44"/>
    <mergeCell ref="A46:I46"/>
    <mergeCell ref="A47:I47"/>
    <mergeCell ref="A48:I48"/>
    <mergeCell ref="A49:I49"/>
    <mergeCell ref="A50:I50"/>
    <mergeCell ref="A51:I51"/>
    <mergeCell ref="A52:I52"/>
    <mergeCell ref="A53:I53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2026-03-14T02:09:13Z</dcterms:created>
  <dc:creator>openpyxl</dc:creator>
  <dc:description/>
  <dc:language>en-US</dc:language>
  <cp:lastModifiedBy/>
  <dcterms:modified xsi:type="dcterms:W3CDTF">2026-03-14T02:09:13Z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